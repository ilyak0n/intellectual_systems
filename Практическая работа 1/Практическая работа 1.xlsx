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University\Полтавский\Полтавский\Практическая работа\Практическая работа 1\"/>
    </mc:Choice>
  </mc:AlternateContent>
  <xr:revisionPtr revIDLastSave="0" documentId="13_ncr:1_{BB80C464-377E-4257-859C-AD153A289D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G3" i="1"/>
  <c r="G4" i="1" s="1"/>
  <c r="G5" i="1" s="1"/>
  <c r="G6" i="1" s="1"/>
  <c r="G7" i="1" s="1"/>
  <c r="G8" i="1" s="1"/>
  <c r="G9" i="1" s="1"/>
  <c r="G10" i="1" s="1"/>
  <c r="G11" i="1" s="1"/>
  <c r="J2" i="1"/>
  <c r="B3" i="1"/>
  <c r="B4" i="1" l="1"/>
  <c r="B5" i="1" s="1"/>
  <c r="B6" i="1" s="1"/>
  <c r="B7" i="1" s="1"/>
  <c r="B8" i="1" s="1"/>
  <c r="B9" i="1" s="1"/>
  <c r="B10" i="1" s="1"/>
  <c r="B11" i="1" s="1"/>
  <c r="M11" i="1" s="1"/>
  <c r="M3" i="1"/>
  <c r="M10" i="1"/>
  <c r="M9" i="1"/>
  <c r="M8" i="1"/>
  <c r="M7" i="1"/>
  <c r="M6" i="1"/>
  <c r="M5" i="1"/>
  <c r="M4" i="1"/>
  <c r="J4" i="1"/>
  <c r="J3" i="1"/>
  <c r="D2" i="1"/>
  <c r="D3" i="1" l="1"/>
  <c r="E3" i="1"/>
  <c r="E2" i="1"/>
  <c r="J5" i="1" l="1"/>
  <c r="J6" i="1"/>
  <c r="J7" i="1" l="1"/>
  <c r="D4" i="1"/>
  <c r="E4" i="1"/>
  <c r="J8" i="1" l="1"/>
  <c r="E5" i="1"/>
  <c r="D5" i="1"/>
  <c r="J9" i="1" l="1"/>
  <c r="D6" i="1"/>
  <c r="E6" i="1"/>
  <c r="J10" i="1" l="1"/>
  <c r="E7" i="1"/>
  <c r="D7" i="1"/>
  <c r="D8" i="1" l="1"/>
  <c r="E8" i="1"/>
  <c r="E9" i="1" l="1"/>
  <c r="D9" i="1"/>
  <c r="E10" i="1" l="1"/>
  <c r="D10" i="1"/>
</calcChain>
</file>

<file path=xl/sharedStrings.xml><?xml version="1.0" encoding="utf-8"?>
<sst xmlns="http://schemas.openxmlformats.org/spreadsheetml/2006/main" count="3" uniqueCount="2">
  <si>
    <t>Точное решение</t>
  </si>
  <si>
    <t>Приближённое значение y при h=0,1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</si>
</sst>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Метод Эйлера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Лист1!$B$2:$B$11</c:f>
              <c:numCache>
                <c:formatCode>General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</c:numCache>
            </c:numRef>
          </c:cat>
          <c:val>
            <c:numRef>
              <c:f>Лист1!$C$1:$C$11</c:f>
              <c:numCache>
                <c:formatCode>0.00</c:formatCode>
                <c:ptCount val="1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2.0000000000000004E-2</c:v>
                </c:pt>
                <c:pt idx="4">
                  <c:v>5.800000000000001E-2</c:v>
                </c:pt>
                <c:pt idx="5">
                  <c:v>0.11220000000000002</c:v>
                </c:pt>
                <c:pt idx="6">
                  <c:v>0.18098000000000003</c:v>
                </c:pt>
                <c:pt idx="7">
                  <c:v>0.26288200000000006</c:v>
                </c:pt>
                <c:pt idx="8">
                  <c:v>0.35659380000000007</c:v>
                </c:pt>
                <c:pt idx="9">
                  <c:v>0.46093442000000007</c:v>
                </c:pt>
                <c:pt idx="10">
                  <c:v>0.57484097800000011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94-47D1-A151-47763F2D108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51914496"/>
        <c:axId val="252708352"/>
      </c:lineChart>
      <c:catAx>
        <c:axId val="2519144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Х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2708352"/>
        <c:crosses val="autoZero"/>
        <c:auto val="1"/>
        <c:lblAlgn val="ctr"/>
        <c:lblOffset val="100"/>
        <c:noMultiLvlLbl val="0"/>
      </c:catAx>
      <c:valAx>
        <c:axId val="2527083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191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Общая диаграмм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Лист1!$B$2:$B$11</c:f>
              <c:numCache>
                <c:formatCode>General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</c:numCache>
            </c:numRef>
          </c:cat>
          <c:val>
            <c:numRef>
              <c:f>Лист1!$C$1:$C$11</c:f>
              <c:numCache>
                <c:formatCode>0.00</c:formatCode>
                <c:ptCount val="1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2.0000000000000004E-2</c:v>
                </c:pt>
                <c:pt idx="4">
                  <c:v>5.800000000000001E-2</c:v>
                </c:pt>
                <c:pt idx="5">
                  <c:v>0.11220000000000002</c:v>
                </c:pt>
                <c:pt idx="6">
                  <c:v>0.18098000000000003</c:v>
                </c:pt>
                <c:pt idx="7">
                  <c:v>0.26288200000000006</c:v>
                </c:pt>
                <c:pt idx="8">
                  <c:v>0.35659380000000007</c:v>
                </c:pt>
                <c:pt idx="9">
                  <c:v>0.46093442000000007</c:v>
                </c:pt>
                <c:pt idx="10">
                  <c:v>0.57484097800000011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B8C-4910-840E-D001158FCB29}"/>
            </c:ext>
          </c:extLst>
        </c:ser>
        <c:ser>
          <c:idx val="0"/>
          <c:order val="1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Лист1!$B$2:$B$11</c:f>
              <c:numCache>
                <c:formatCode>General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</c:numCache>
            </c:numRef>
          </c:cat>
          <c:val>
            <c:numRef>
              <c:f>Лист1!$M$2:$M$11</c:f>
              <c:numCache>
                <c:formatCode>General</c:formatCode>
                <c:ptCount val="10"/>
                <c:pt idx="0">
                  <c:v>0</c:v>
                </c:pt>
                <c:pt idx="1">
                  <c:v>9.6748360719189908E-3</c:v>
                </c:pt>
                <c:pt idx="2">
                  <c:v>3.7461506155963553E-2</c:v>
                </c:pt>
                <c:pt idx="3">
                  <c:v>8.1636441363435841E-2</c:v>
                </c:pt>
                <c:pt idx="4">
                  <c:v>0.1406400920712787</c:v>
                </c:pt>
                <c:pt idx="5">
                  <c:v>0.21306131942526685</c:v>
                </c:pt>
                <c:pt idx="6">
                  <c:v>0.29762327218805296</c:v>
                </c:pt>
                <c:pt idx="7">
                  <c:v>0.39317060758281885</c:v>
                </c:pt>
                <c:pt idx="8">
                  <c:v>0.4986579282344431</c:v>
                </c:pt>
                <c:pt idx="9">
                  <c:v>0.61313931948119815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8C-4910-840E-D001158FCB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52761600"/>
        <c:axId val="252763136"/>
      </c:lineChart>
      <c:catAx>
        <c:axId val="25276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2763136"/>
        <c:crosses val="autoZero"/>
        <c:auto val="1"/>
        <c:lblAlgn val="ctr"/>
        <c:lblOffset val="100"/>
        <c:noMultiLvlLbl val="0"/>
      </c:catAx>
      <c:valAx>
        <c:axId val="25276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276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Точное решение</a:t>
            </a:r>
          </a:p>
        </c:rich>
      </c:tx>
      <c:layout>
        <c:manualLayout>
          <c:xMode val="edge"/>
          <c:yMode val="edge"/>
          <c:x val="0.4138888888888889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Лист1!$B$2:$B$11</c:f>
              <c:numCache>
                <c:formatCode>General</c:formatCode>
                <c:ptCount val="1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</c:numCache>
            </c:numRef>
          </c:cat>
          <c:val>
            <c:numRef>
              <c:f>Лист1!$M$2:$M$11</c:f>
              <c:numCache>
                <c:formatCode>General</c:formatCode>
                <c:ptCount val="10"/>
                <c:pt idx="0">
                  <c:v>0</c:v>
                </c:pt>
                <c:pt idx="1">
                  <c:v>9.6748360719189908E-3</c:v>
                </c:pt>
                <c:pt idx="2">
                  <c:v>3.7461506155963553E-2</c:v>
                </c:pt>
                <c:pt idx="3">
                  <c:v>8.1636441363435841E-2</c:v>
                </c:pt>
                <c:pt idx="4">
                  <c:v>0.1406400920712787</c:v>
                </c:pt>
                <c:pt idx="5">
                  <c:v>0.21306131942526685</c:v>
                </c:pt>
                <c:pt idx="6">
                  <c:v>0.29762327218805296</c:v>
                </c:pt>
                <c:pt idx="7">
                  <c:v>0.39317060758281885</c:v>
                </c:pt>
                <c:pt idx="8">
                  <c:v>0.4986579282344431</c:v>
                </c:pt>
                <c:pt idx="9">
                  <c:v>0.61313931948119815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7-4E26-AB7E-D5670C3247E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52594816"/>
        <c:axId val="252610432"/>
      </c:lineChart>
      <c:catAx>
        <c:axId val="252594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2610432"/>
        <c:crosses val="autoZero"/>
        <c:auto val="1"/>
        <c:lblAlgn val="ctr"/>
        <c:lblOffset val="100"/>
        <c:noMultiLvlLbl val="0"/>
      </c:catAx>
      <c:valAx>
        <c:axId val="2526104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259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13</xdr:row>
      <xdr:rowOff>95250</xdr:rowOff>
    </xdr:from>
    <xdr:to>
      <xdr:col>7</xdr:col>
      <xdr:colOff>333375</xdr:colOff>
      <xdr:row>27</xdr:row>
      <xdr:rowOff>171450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28</xdr:row>
      <xdr:rowOff>57149</xdr:rowOff>
    </xdr:from>
    <xdr:to>
      <xdr:col>13</xdr:col>
      <xdr:colOff>200025</xdr:colOff>
      <xdr:row>46</xdr:row>
      <xdr:rowOff>180974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390525</xdr:colOff>
      <xdr:row>13</xdr:row>
      <xdr:rowOff>133350</xdr:rowOff>
    </xdr:from>
    <xdr:to>
      <xdr:col>13</xdr:col>
      <xdr:colOff>628650</xdr:colOff>
      <xdr:row>28</xdr:row>
      <xdr:rowOff>19050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B4" sqref="B4"/>
    </sheetView>
  </sheetViews>
  <sheetFormatPr defaultRowHeight="15" x14ac:dyDescent="0.25"/>
  <cols>
    <col min="5" max="5" width="9.140625" style="1"/>
    <col min="7" max="7" width="9.140625" style="2"/>
    <col min="13" max="13" width="19.28515625" customWidth="1"/>
    <col min="14" max="14" width="34.5703125" customWidth="1"/>
    <col min="15" max="15" width="17.42578125" style="2" customWidth="1"/>
    <col min="16" max="16" width="22" customWidth="1"/>
  </cols>
  <sheetData>
    <row r="1" spans="1:16" x14ac:dyDescent="0.25">
      <c r="A1">
        <v>0</v>
      </c>
      <c r="B1">
        <v>0</v>
      </c>
      <c r="C1">
        <v>0</v>
      </c>
      <c r="D1">
        <v>0</v>
      </c>
      <c r="E1" s="1">
        <v>0</v>
      </c>
      <c r="F1">
        <v>0</v>
      </c>
      <c r="G1" s="2">
        <v>0</v>
      </c>
      <c r="H1">
        <v>0</v>
      </c>
      <c r="I1">
        <v>0</v>
      </c>
      <c r="J1" s="1">
        <v>0</v>
      </c>
      <c r="M1" t="s">
        <v>0</v>
      </c>
      <c r="N1" t="s">
        <v>1</v>
      </c>
      <c r="O1" s="2" t="s">
        <v>1</v>
      </c>
    </row>
    <row r="2" spans="1:16" x14ac:dyDescent="0.25">
      <c r="A2">
        <v>1</v>
      </c>
      <c r="B2">
        <v>0</v>
      </c>
      <c r="C2" s="1">
        <v>0</v>
      </c>
      <c r="D2" s="1">
        <f>2*B2-C2</f>
        <v>0</v>
      </c>
      <c r="E2" s="1">
        <f>0.1*(2*B2-C2)</f>
        <v>0</v>
      </c>
      <c r="F2">
        <v>1</v>
      </c>
      <c r="G2" s="2">
        <v>0</v>
      </c>
      <c r="H2" s="1">
        <v>0</v>
      </c>
      <c r="I2" s="1">
        <v>0</v>
      </c>
      <c r="J2" s="1">
        <f>0.1*(2*G2-H2)</f>
        <v>0</v>
      </c>
      <c r="M2">
        <f>2*(B2-1+EXP(1)^(-B2))</f>
        <v>0</v>
      </c>
      <c r="N2" s="1">
        <v>0</v>
      </c>
      <c r="O2" s="2">
        <v>0</v>
      </c>
      <c r="P2" s="1">
        <v>0</v>
      </c>
    </row>
    <row r="3" spans="1:16" x14ac:dyDescent="0.25">
      <c r="A3">
        <v>2</v>
      </c>
      <c r="B3">
        <f>B2+0.1</f>
        <v>0.1</v>
      </c>
      <c r="C3" s="1">
        <v>0</v>
      </c>
      <c r="D3" s="1">
        <f t="shared" ref="D3:D10" si="0">2*B3-C3</f>
        <v>0.2</v>
      </c>
      <c r="E3" s="1">
        <f t="shared" ref="E3:E10" si="1">0.1*(2*B3-C3)</f>
        <v>2.0000000000000004E-2</v>
      </c>
      <c r="F3">
        <v>2</v>
      </c>
      <c r="G3" s="2">
        <f>G2+0.05</f>
        <v>0.05</v>
      </c>
      <c r="H3" s="1">
        <v>0</v>
      </c>
      <c r="I3" s="1">
        <v>0.1</v>
      </c>
      <c r="J3" s="1">
        <f t="shared" ref="J3:J10" si="2">0.1*(2*G3-H3)</f>
        <v>1.0000000000000002E-2</v>
      </c>
      <c r="M3">
        <f>2*(B3-1+EXP(1)^(-B3))</f>
        <v>9.6748360719189908E-3</v>
      </c>
      <c r="N3" s="1">
        <v>0</v>
      </c>
      <c r="O3" s="2">
        <v>0</v>
      </c>
      <c r="P3" s="1">
        <v>0.1</v>
      </c>
    </row>
    <row r="4" spans="1:16" x14ac:dyDescent="0.25">
      <c r="A4">
        <v>3</v>
      </c>
      <c r="B4">
        <f t="shared" ref="B4:B11" si="3">B3+0.1</f>
        <v>0.2</v>
      </c>
      <c r="C4" s="1">
        <v>2.0000000000000004E-2</v>
      </c>
      <c r="D4" s="1">
        <f t="shared" si="0"/>
        <v>0.38</v>
      </c>
      <c r="E4" s="1">
        <f t="shared" si="1"/>
        <v>3.8000000000000006E-2</v>
      </c>
      <c r="F4">
        <v>3</v>
      </c>
      <c r="G4" s="2">
        <f t="shared" ref="G4:G11" si="4">G3+0.05</f>
        <v>0.1</v>
      </c>
      <c r="H4" s="1">
        <v>5.000000000000001E-3</v>
      </c>
      <c r="I4" s="1">
        <v>0.19500000000000001</v>
      </c>
      <c r="J4" s="1">
        <f t="shared" si="2"/>
        <v>1.9500000000000003E-2</v>
      </c>
      <c r="M4">
        <f t="shared" ref="M4:M11" si="5">2*(B4-1+EXP(1)^(-B4))</f>
        <v>3.7461506155963553E-2</v>
      </c>
      <c r="N4" s="1">
        <v>2.0000000000000004E-2</v>
      </c>
      <c r="O4" s="2">
        <v>5.000000000000001E-3</v>
      </c>
      <c r="P4" s="1">
        <v>0.19500000000000001</v>
      </c>
    </row>
    <row r="5" spans="1:16" x14ac:dyDescent="0.25">
      <c r="A5">
        <v>4</v>
      </c>
      <c r="B5">
        <f t="shared" si="3"/>
        <v>0.30000000000000004</v>
      </c>
      <c r="C5" s="1">
        <v>5.800000000000001E-2</v>
      </c>
      <c r="D5" s="1">
        <f t="shared" si="0"/>
        <v>0.54200000000000004</v>
      </c>
      <c r="E5" s="1">
        <f t="shared" si="1"/>
        <v>5.4200000000000005E-2</v>
      </c>
      <c r="F5">
        <v>4</v>
      </c>
      <c r="G5" s="2">
        <f t="shared" si="4"/>
        <v>0.15000000000000002</v>
      </c>
      <c r="H5" s="1">
        <v>1.4750000000000003E-2</v>
      </c>
      <c r="I5" s="1">
        <v>0.28525000000000006</v>
      </c>
      <c r="J5" s="1">
        <f t="shared" si="2"/>
        <v>2.8525000000000009E-2</v>
      </c>
      <c r="M5">
        <f t="shared" si="5"/>
        <v>8.1636441363435841E-2</v>
      </c>
      <c r="N5" s="1">
        <v>5.800000000000001E-2</v>
      </c>
      <c r="O5" s="2">
        <v>1.4750000000000003E-2</v>
      </c>
      <c r="P5" s="1">
        <v>0.28525000000000006</v>
      </c>
    </row>
    <row r="6" spans="1:16" x14ac:dyDescent="0.25">
      <c r="A6">
        <v>5</v>
      </c>
      <c r="B6">
        <f t="shared" si="3"/>
        <v>0.4</v>
      </c>
      <c r="C6" s="1">
        <v>0.11220000000000002</v>
      </c>
      <c r="D6" s="1">
        <f t="shared" si="0"/>
        <v>0.68779999999999997</v>
      </c>
      <c r="E6" s="1">
        <f t="shared" si="1"/>
        <v>6.8779999999999994E-2</v>
      </c>
      <c r="F6">
        <v>5</v>
      </c>
      <c r="G6" s="2">
        <f t="shared" si="4"/>
        <v>0.2</v>
      </c>
      <c r="H6" s="1">
        <v>2.9012500000000007E-2</v>
      </c>
      <c r="I6" s="1">
        <v>0.37098750000000003</v>
      </c>
      <c r="J6" s="1">
        <f t="shared" si="2"/>
        <v>3.7098750000000007E-2</v>
      </c>
      <c r="M6">
        <f t="shared" si="5"/>
        <v>0.1406400920712787</v>
      </c>
      <c r="N6" s="1">
        <v>0.11220000000000002</v>
      </c>
      <c r="O6" s="2">
        <v>2.9012500000000007E-2</v>
      </c>
      <c r="P6" s="1">
        <v>0.37098750000000003</v>
      </c>
    </row>
    <row r="7" spans="1:16" x14ac:dyDescent="0.25">
      <c r="B7">
        <f t="shared" si="3"/>
        <v>0.5</v>
      </c>
      <c r="C7" s="1">
        <v>0.18098000000000003</v>
      </c>
      <c r="D7" s="1">
        <f t="shared" si="0"/>
        <v>0.81901999999999997</v>
      </c>
      <c r="E7" s="1">
        <f t="shared" si="1"/>
        <v>8.1902000000000003E-2</v>
      </c>
      <c r="G7" s="2">
        <f t="shared" si="4"/>
        <v>0.25</v>
      </c>
      <c r="H7" s="1">
        <v>4.756187500000001E-2</v>
      </c>
      <c r="I7" s="1">
        <v>0.45243812499999997</v>
      </c>
      <c r="J7" s="1">
        <f t="shared" si="2"/>
        <v>4.5243812500000001E-2</v>
      </c>
      <c r="M7">
        <f t="shared" si="5"/>
        <v>0.21306131942526685</v>
      </c>
      <c r="N7" s="1">
        <v>0.18098000000000003</v>
      </c>
      <c r="O7" s="2">
        <v>4.756187500000001E-2</v>
      </c>
      <c r="P7" s="1">
        <v>0.45243812499999997</v>
      </c>
    </row>
    <row r="8" spans="1:16" x14ac:dyDescent="0.25">
      <c r="B8">
        <f t="shared" si="3"/>
        <v>0.6</v>
      </c>
      <c r="C8" s="1">
        <v>0.26288200000000006</v>
      </c>
      <c r="D8" s="1">
        <f t="shared" si="0"/>
        <v>0.9371179999999999</v>
      </c>
      <c r="E8" s="1">
        <f t="shared" si="1"/>
        <v>9.3711799999999998E-2</v>
      </c>
      <c r="G8" s="2">
        <f t="shared" si="4"/>
        <v>0.3</v>
      </c>
      <c r="H8" s="1">
        <v>7.0183781250000007E-2</v>
      </c>
      <c r="I8" s="1">
        <v>0.52981621874999996</v>
      </c>
      <c r="J8" s="1">
        <f t="shared" si="2"/>
        <v>5.2981621874999996E-2</v>
      </c>
      <c r="M8">
        <f t="shared" si="5"/>
        <v>0.29762327218805296</v>
      </c>
      <c r="N8" s="1">
        <v>0.26288200000000006</v>
      </c>
      <c r="O8" s="2">
        <v>7.0183781250000007E-2</v>
      </c>
      <c r="P8" s="1">
        <v>0.52981621874999996</v>
      </c>
    </row>
    <row r="9" spans="1:16" x14ac:dyDescent="0.25">
      <c r="B9">
        <f t="shared" si="3"/>
        <v>0.7</v>
      </c>
      <c r="C9" s="1">
        <v>0.35659380000000007</v>
      </c>
      <c r="D9" s="1">
        <f t="shared" si="0"/>
        <v>1.0434061999999997</v>
      </c>
      <c r="E9" s="1">
        <f t="shared" si="1"/>
        <v>0.10434061999999998</v>
      </c>
      <c r="G9" s="2">
        <f t="shared" si="4"/>
        <v>0.35</v>
      </c>
      <c r="H9" s="1">
        <v>9.6674592187500005E-2</v>
      </c>
      <c r="I9" s="1">
        <v>0.60332540781249999</v>
      </c>
      <c r="J9" s="1">
        <f t="shared" si="2"/>
        <v>6.0332540781249999E-2</v>
      </c>
      <c r="M9">
        <f t="shared" si="5"/>
        <v>0.39317060758281885</v>
      </c>
      <c r="N9" s="1">
        <v>0.35659380000000007</v>
      </c>
      <c r="O9" s="2">
        <v>9.6674592187500005E-2</v>
      </c>
      <c r="P9" s="1">
        <v>0.60332540781249999</v>
      </c>
    </row>
    <row r="10" spans="1:16" x14ac:dyDescent="0.25">
      <c r="B10">
        <f t="shared" si="3"/>
        <v>0.79999999999999993</v>
      </c>
      <c r="C10" s="1">
        <v>0.46093442000000007</v>
      </c>
      <c r="D10" s="1">
        <f t="shared" si="0"/>
        <v>1.1390655799999998</v>
      </c>
      <c r="E10" s="1">
        <f t="shared" si="1"/>
        <v>0.11390655799999999</v>
      </c>
      <c r="G10" s="2">
        <f t="shared" si="4"/>
        <v>0.39999999999999997</v>
      </c>
      <c r="H10" s="1">
        <v>0.12684086257812499</v>
      </c>
      <c r="I10" s="1">
        <v>0.67315913742187494</v>
      </c>
      <c r="J10" s="1">
        <f t="shared" si="2"/>
        <v>6.7315913742187497E-2</v>
      </c>
      <c r="M10">
        <f t="shared" si="5"/>
        <v>0.4986579282344431</v>
      </c>
      <c r="N10" s="1">
        <v>0.46093442000000007</v>
      </c>
      <c r="O10" s="2">
        <v>0.12684086257812499</v>
      </c>
      <c r="P10" s="1">
        <v>0.67315913742187494</v>
      </c>
    </row>
    <row r="11" spans="1:16" x14ac:dyDescent="0.25">
      <c r="B11">
        <f t="shared" si="3"/>
        <v>0.89999999999999991</v>
      </c>
      <c r="C11" s="1">
        <v>0.57484097800000011</v>
      </c>
      <c r="G11" s="2">
        <f t="shared" si="4"/>
        <v>0.44999999999999996</v>
      </c>
      <c r="H11" s="1">
        <v>0.16049881944921873</v>
      </c>
      <c r="J11" s="1"/>
      <c r="M11">
        <f t="shared" si="5"/>
        <v>0.61313931948119815</v>
      </c>
      <c r="N11" s="1">
        <v>0.57484097800000011</v>
      </c>
      <c r="O11" s="2">
        <v>0.16049881944921873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МИИГаиК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Student-3k3-02</dc:creator>
  <cp:lastModifiedBy>Даниил</cp:lastModifiedBy>
  <dcterms:created xsi:type="dcterms:W3CDTF">2026-02-21T09:59:07Z</dcterms:created>
  <dcterms:modified xsi:type="dcterms:W3CDTF">2026-03-07T01:26:56Z</dcterms:modified>
</cp:coreProperties>
</file>