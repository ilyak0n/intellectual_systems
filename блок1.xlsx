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шаг 0,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T2" i="1"/>
  <c r="R4" i="1" l="1"/>
  <c r="U2" i="1"/>
  <c r="V2" i="1" s="1"/>
  <c r="W2" i="1" s="1"/>
  <c r="R5" i="1" l="1"/>
  <c r="S3" i="1"/>
  <c r="T3" i="1" l="1"/>
  <c r="R6" i="1"/>
  <c r="R7" i="1" l="1"/>
  <c r="U3" i="1"/>
  <c r="V3" i="1" s="1"/>
  <c r="W3" i="1" s="1"/>
  <c r="R8" i="1" l="1"/>
  <c r="S4" i="1"/>
  <c r="T4" i="1" l="1"/>
  <c r="R9" i="1"/>
  <c r="R10" i="1" l="1"/>
  <c r="U4" i="1"/>
  <c r="V4" i="1" s="1"/>
  <c r="W4" i="1" s="1"/>
  <c r="R11" i="1" l="1"/>
  <c r="S5" i="1"/>
  <c r="T5" i="1" l="1"/>
  <c r="U5" i="1" l="1"/>
  <c r="V5" i="1" s="1"/>
  <c r="W5" i="1" s="1"/>
  <c r="S6" i="1" l="1"/>
  <c r="T6" i="1" l="1"/>
  <c r="U6" i="1"/>
  <c r="V6" i="1" s="1"/>
  <c r="W6" i="1" s="1"/>
  <c r="S7" i="1" l="1"/>
  <c r="T7" i="1" l="1"/>
  <c r="U7" i="1" l="1"/>
  <c r="V7" i="1" s="1"/>
  <c r="W7" i="1" s="1"/>
  <c r="S8" i="1" l="1"/>
  <c r="T8" i="1" l="1"/>
  <c r="U8" i="1" l="1"/>
  <c r="V8" i="1" s="1"/>
  <c r="W8" i="1" s="1"/>
  <c r="S9" i="1" l="1"/>
  <c r="T9" i="1" l="1"/>
  <c r="U9" i="1" l="1"/>
  <c r="V9" i="1" s="1"/>
  <c r="W9" i="1" s="1"/>
  <c r="S10" i="1" l="1"/>
  <c r="T10" i="1" l="1"/>
  <c r="U10" i="1" l="1"/>
  <c r="V10" i="1" s="1"/>
  <c r="W10" i="1" s="1"/>
  <c r="S11" i="1" l="1"/>
  <c r="T11" i="1" l="1"/>
  <c r="U11" i="1"/>
  <c r="V11" i="1" s="1"/>
  <c r="W11" i="1" s="1"/>
  <c r="M11" i="1" l="1"/>
  <c r="M10" i="1"/>
  <c r="M9" i="1"/>
  <c r="M8" i="1"/>
  <c r="M7" i="1"/>
  <c r="M6" i="1"/>
  <c r="M5" i="1"/>
  <c r="M4" i="1"/>
  <c r="M3" i="1"/>
  <c r="M2" i="1"/>
  <c r="I3" i="1"/>
  <c r="I4" i="1" s="1"/>
  <c r="H3" i="1"/>
  <c r="K3" i="1" s="1"/>
  <c r="K2" i="1"/>
  <c r="J2" i="1"/>
  <c r="H4" i="1" l="1"/>
  <c r="J3" i="1"/>
  <c r="E2" i="1"/>
  <c r="D2" i="1"/>
  <c r="C3" i="1"/>
  <c r="B3" i="1"/>
  <c r="B4" i="1" s="1"/>
  <c r="B5" i="1" s="1"/>
  <c r="B6" i="1" s="1"/>
  <c r="B7" i="1" s="1"/>
  <c r="B8" i="1" s="1"/>
  <c r="B9" i="1" s="1"/>
  <c r="B10" i="1" s="1"/>
  <c r="B11" i="1" s="1"/>
  <c r="H5" i="1" l="1"/>
  <c r="J4" i="1"/>
  <c r="K4" i="1"/>
  <c r="I5" i="1"/>
  <c r="I6" i="1" s="1"/>
  <c r="E3" i="1"/>
  <c r="C4" i="1"/>
  <c r="C5" i="1" s="1"/>
  <c r="E5" i="1" s="1"/>
  <c r="D3" i="1"/>
  <c r="K5" i="1" l="1"/>
  <c r="J5" i="1"/>
  <c r="H6" i="1"/>
  <c r="E4" i="1"/>
  <c r="D4" i="1"/>
  <c r="C6" i="1"/>
  <c r="E6" i="1" s="1"/>
  <c r="D5" i="1"/>
  <c r="J6" i="1" l="1"/>
  <c r="H7" i="1"/>
  <c r="K6" i="1"/>
  <c r="I7" i="1"/>
  <c r="I8" i="1" s="1"/>
  <c r="C7" i="1"/>
  <c r="E7" i="1" s="1"/>
  <c r="D6" i="1"/>
  <c r="H8" i="1" l="1"/>
  <c r="K7" i="1"/>
  <c r="J7" i="1"/>
  <c r="C8" i="1"/>
  <c r="E8" i="1" s="1"/>
  <c r="D7" i="1"/>
  <c r="K8" i="1" l="1"/>
  <c r="H9" i="1"/>
  <c r="J8" i="1"/>
  <c r="I9" i="1"/>
  <c r="I10" i="1" s="1"/>
  <c r="C9" i="1"/>
  <c r="E9" i="1" s="1"/>
  <c r="D8" i="1"/>
  <c r="H10" i="1" l="1"/>
  <c r="K9" i="1"/>
  <c r="J9" i="1"/>
  <c r="C10" i="1"/>
  <c r="E10" i="1" s="1"/>
  <c r="D9" i="1"/>
  <c r="H11" i="1" l="1"/>
  <c r="K10" i="1"/>
  <c r="J10" i="1"/>
  <c r="I11" i="1"/>
  <c r="C11" i="1"/>
  <c r="D10" i="1"/>
</calcChain>
</file>

<file path=xl/sharedStrings.xml><?xml version="1.0" encoding="utf-8"?>
<sst xmlns="http://schemas.openxmlformats.org/spreadsheetml/2006/main" count="9" uniqueCount="9">
  <si>
    <t>Точное решение</t>
  </si>
  <si>
    <t>Приближенное значение y при h=0,1</t>
  </si>
  <si>
    <t>Приближенное значение y при h=0,05</t>
  </si>
  <si>
    <t>x</t>
  </si>
  <si>
    <t>k1</t>
  </si>
  <si>
    <t>k2</t>
  </si>
  <si>
    <t>k3</t>
  </si>
  <si>
    <t>k4</t>
  </si>
  <si>
    <t>h=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</si>
</sst>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A0A0A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Эйлера (шаг 0,1)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'шаг 0,1'!$B$2:$B$11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'шаг 0,1'!$C$2:$C$11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2.0000000000000004E-2</c:v>
                </c:pt>
                <c:pt idx="3">
                  <c:v>5.800000000000001E-2</c:v>
                </c:pt>
                <c:pt idx="4">
                  <c:v>0.11220000000000002</c:v>
                </c:pt>
                <c:pt idx="5">
                  <c:v>0.18098000000000003</c:v>
                </c:pt>
                <c:pt idx="6">
                  <c:v>0.26288200000000006</c:v>
                </c:pt>
                <c:pt idx="7">
                  <c:v>0.35659380000000007</c:v>
                </c:pt>
                <c:pt idx="8">
                  <c:v>0.46093442000000007</c:v>
                </c:pt>
                <c:pt idx="9">
                  <c:v>0.57484097800000011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C-403C-A077-70E9D32D107D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85259328"/>
        <c:axId val="1885265984"/>
      </c:lineChart>
      <c:catAx>
        <c:axId val="188525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265984"/>
        <c:crosses val="autoZero"/>
        <c:auto val="1"/>
        <c:lblAlgn val="ctr"/>
        <c:lblOffset val="100"/>
        <c:noMultiLvlLbl val="0"/>
      </c:catAx>
      <c:valAx>
        <c:axId val="18852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525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</a:t>
            </a:r>
            <a:r>
              <a:rPr lang="ru-RU" baseline="0"/>
              <a:t> график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'шаг 0,1'!$B$2:$B$11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'шаг 0,1'!$C$2:$C$11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2.0000000000000004E-2</c:v>
                </c:pt>
                <c:pt idx="3">
                  <c:v>5.800000000000001E-2</c:v>
                </c:pt>
                <c:pt idx="4">
                  <c:v>0.11220000000000002</c:v>
                </c:pt>
                <c:pt idx="5">
                  <c:v>0.18098000000000003</c:v>
                </c:pt>
                <c:pt idx="6">
                  <c:v>0.26288200000000006</c:v>
                </c:pt>
                <c:pt idx="7">
                  <c:v>0.35659380000000007</c:v>
                </c:pt>
                <c:pt idx="8">
                  <c:v>0.46093442000000007</c:v>
                </c:pt>
                <c:pt idx="9">
                  <c:v>0.57484097800000011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F-4932-8C7F-5A786685C2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'шаг 0,1'!$B$2:$B$11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'шаг 0,1'!$I$2:$I$11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1.4750000000000003E-2</c:v>
                </c:pt>
                <c:pt idx="4">
                  <c:v>2.9012500000000007E-2</c:v>
                </c:pt>
                <c:pt idx="5">
                  <c:v>4.756187500000001E-2</c:v>
                </c:pt>
                <c:pt idx="6">
                  <c:v>7.0183781250000007E-2</c:v>
                </c:pt>
                <c:pt idx="7">
                  <c:v>9.6674592187500005E-2</c:v>
                </c:pt>
                <c:pt idx="8">
                  <c:v>0.12684086257812499</c:v>
                </c:pt>
                <c:pt idx="9">
                  <c:v>0.16049881944921873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4932-8C7F-5A786685C2AB}"/>
            </c:ext>
          </c:extLst>
        </c:ser>
        <c:ser>
          <c:idx val="2"/>
          <c:order val="2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'шаг 0,1'!$B$2:$B$11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'шаг 0,1'!$M$2:$M$11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3.9734661351076284E-4</c:v>
                </c:pt>
                <c:pt idx="3">
                  <c:v>3.2998948735969424E-3</c:v>
                </c:pt>
                <c:pt idx="4">
                  <c:v>1.213093305710089E-2</c:v>
                </c:pt>
                <c:pt idx="5">
                  <c:v>3.0864095139703229E-2</c:v>
                </c:pt>
                <c:pt idx="6">
                  <c:v>6.3429228414469296E-2</c:v>
                </c:pt>
                <c:pt idx="7">
                  <c:v>0.11330120612338712</c:v>
                </c:pt>
                <c:pt idx="8">
                  <c:v>0.18325691391360621</c:v>
                </c:pt>
                <c:pt idx="9">
                  <c:v>0.27527067275163941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F-4932-8C7F-5A786685C2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53369008"/>
        <c:axId val="1553376080"/>
      </c:lineChart>
      <c:catAx>
        <c:axId val="155336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3376080"/>
        <c:crosses val="autoZero"/>
        <c:auto val="1"/>
        <c:lblAlgn val="ctr"/>
        <c:lblOffset val="100"/>
        <c:noMultiLvlLbl val="0"/>
      </c:catAx>
      <c:valAx>
        <c:axId val="15533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336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Эйлера (шаг 0,05)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'шаг 0,1'!$H$2:$H$11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</c:numCache>
            </c:numRef>
          </c:cat>
          <c:val>
            <c:numRef>
              <c:f>'шаг 0,1'!$I$2:$I$11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1.4750000000000003E-2</c:v>
                </c:pt>
                <c:pt idx="4">
                  <c:v>2.9012500000000007E-2</c:v>
                </c:pt>
                <c:pt idx="5">
                  <c:v>4.756187500000001E-2</c:v>
                </c:pt>
                <c:pt idx="6">
                  <c:v>7.0183781250000007E-2</c:v>
                </c:pt>
                <c:pt idx="7">
                  <c:v>9.6674592187500005E-2</c:v>
                </c:pt>
                <c:pt idx="8">
                  <c:v>0.12684086257812499</c:v>
                </c:pt>
                <c:pt idx="9">
                  <c:v>0.16049881944921873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0-4ACB-9490-A8375A3DD3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9762512"/>
        <c:axId val="1559776240"/>
      </c:lineChart>
      <c:catAx>
        <c:axId val="15597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9776240"/>
        <c:crosses val="autoZero"/>
        <c:auto val="1"/>
        <c:lblAlgn val="ctr"/>
        <c:lblOffset val="100"/>
        <c:noMultiLvlLbl val="0"/>
      </c:catAx>
      <c:valAx>
        <c:axId val="155977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976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Эйлера (шаг 0,05)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'шаг 0,1'!$M$2:$M$11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3.9734661351076284E-4</c:v>
                </c:pt>
                <c:pt idx="3">
                  <c:v>3.2998948735969424E-3</c:v>
                </c:pt>
                <c:pt idx="4">
                  <c:v>1.213093305710089E-2</c:v>
                </c:pt>
                <c:pt idx="5">
                  <c:v>3.0864095139703229E-2</c:v>
                </c:pt>
                <c:pt idx="6">
                  <c:v>6.3429228414469296E-2</c:v>
                </c:pt>
                <c:pt idx="7">
                  <c:v>0.11330120612338712</c:v>
                </c:pt>
                <c:pt idx="8">
                  <c:v>0.18325691391360621</c:v>
                </c:pt>
                <c:pt idx="9">
                  <c:v>0.27527067275163941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7-471F-8371-4D3EEA771C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2253152"/>
        <c:axId val="1592255232"/>
      </c:lineChart>
      <c:catAx>
        <c:axId val="159225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2255232"/>
        <c:crosses val="autoZero"/>
        <c:auto val="1"/>
        <c:lblAlgn val="ctr"/>
        <c:lblOffset val="100"/>
        <c:noMultiLvlLbl val="0"/>
      </c:catAx>
      <c:valAx>
        <c:axId val="159225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225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</a:t>
            </a:r>
            <a:r>
              <a:rPr lang="ru-RU" baseline="0"/>
              <a:t> Рунге - Кутты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'шаг 0,1'!$R$2:$R$11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'шаг 0,1'!$S$2:$S$11</c:f>
              <c:numCache>
                <c:formatCode>General</c:formatCode>
                <c:ptCount val="10"/>
                <c:pt idx="0">
                  <c:v>0</c:v>
                </c:pt>
                <c:pt idx="1">
                  <c:v>9.6750000000000013E-3</c:v>
                </c:pt>
                <c:pt idx="2">
                  <c:v>3.7461802812500007E-2</c:v>
                </c:pt>
                <c:pt idx="3">
                  <c:v>8.1636844002355477E-2</c:v>
                </c:pt>
                <c:pt idx="4">
                  <c:v>0.14064057783498135</c:v>
                </c:pt>
                <c:pt idx="5">
                  <c:v>0.21306186884675993</c:v>
                </c:pt>
                <c:pt idx="6">
                  <c:v>0.29762386875263014</c:v>
                </c:pt>
                <c:pt idx="7">
                  <c:v>0.39317123734245796</c:v>
                </c:pt>
                <c:pt idx="8">
                  <c:v>0.49865857946885633</c:v>
                </c:pt>
                <c:pt idx="9">
                  <c:v>0.61313998240015133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4-4827-908C-C0692D3DD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501056"/>
        <c:axId val="631496480"/>
      </c:lineChart>
      <c:catAx>
        <c:axId val="6315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496480"/>
        <c:crosses val="autoZero"/>
        <c:auto val="1"/>
        <c:lblAlgn val="ctr"/>
        <c:lblOffset val="100"/>
        <c:noMultiLvlLbl val="0"/>
      </c:catAx>
      <c:valAx>
        <c:axId val="6314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15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9525</xdr:rowOff>
    </xdr:from>
    <xdr:to>
      <xdr:col>7</xdr:col>
      <xdr:colOff>304800</xdr:colOff>
      <xdr:row>26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19050</xdr:rowOff>
    </xdr:from>
    <xdr:to>
      <xdr:col>13</xdr:col>
      <xdr:colOff>380999</xdr:colOff>
      <xdr:row>48</xdr:row>
      <xdr:rowOff>133350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590550</xdr:colOff>
      <xdr:row>12</xdr:row>
      <xdr:rowOff>0</xdr:rowOff>
    </xdr:from>
    <xdr:to>
      <xdr:col>13</xdr:col>
      <xdr:colOff>352425</xdr:colOff>
      <xdr:row>26</xdr:row>
      <xdr:rowOff>76200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571500</xdr:colOff>
      <xdr:row>14</xdr:row>
      <xdr:rowOff>0</xdr:rowOff>
    </xdr:from>
    <xdr:to>
      <xdr:col>16</xdr:col>
      <xdr:colOff>371475</xdr:colOff>
      <xdr:row>28</xdr:row>
      <xdr:rowOff>76200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590549</xdr:colOff>
      <xdr:row>29</xdr:row>
      <xdr:rowOff>57150</xdr:rowOff>
    </xdr:from>
    <xdr:to>
      <xdr:col>19</xdr:col>
      <xdr:colOff>428625</xdr:colOff>
      <xdr:row>48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topLeftCell="E1" zoomScale="85" zoomScaleNormal="85" workbookViewId="0">
      <selection activeCell="U26" sqref="U26"/>
    </sheetView>
  </sheetViews>
  <sheetFormatPr defaultRowHeight="15" x14ac:dyDescent="0.25"/>
  <cols>
    <col min="11" max="11" width="16.5703125" bestFit="1" customWidth="1"/>
    <col min="12" max="12" width="11.5703125" customWidth="1"/>
    <col min="13" max="13" width="16.5703125" bestFit="1" customWidth="1"/>
    <col min="14" max="14" width="35.42578125" bestFit="1" customWidth="1"/>
    <col min="15" max="15" width="17.85546875" customWidth="1"/>
    <col min="16" max="16" width="18.28515625" customWidth="1"/>
  </cols>
  <sheetData>
    <row r="1" spans="1:23" x14ac:dyDescent="0.25">
      <c r="A1">
        <v>0</v>
      </c>
      <c r="G1">
        <v>0</v>
      </c>
      <c r="M1" t="s">
        <v>0</v>
      </c>
      <c r="N1" t="s">
        <v>1</v>
      </c>
      <c r="O1" s="4" t="s">
        <v>2</v>
      </c>
      <c r="P1" s="4"/>
      <c r="R1" t="s">
        <v>3</v>
      </c>
      <c r="T1" t="s">
        <v>4</v>
      </c>
      <c r="U1" t="s">
        <v>5</v>
      </c>
      <c r="V1" t="s">
        <v>6</v>
      </c>
      <c r="W1" t="s">
        <v>7</v>
      </c>
    </row>
    <row r="2" spans="1:23" x14ac:dyDescent="0.25">
      <c r="A2">
        <v>1</v>
      </c>
      <c r="B2">
        <v>0</v>
      </c>
      <c r="C2">
        <v>0</v>
      </c>
      <c r="D2" s="1">
        <f>2*B2-C2</f>
        <v>0</v>
      </c>
      <c r="E2" s="1">
        <f>0.1*(2*B2-C2)</f>
        <v>0</v>
      </c>
      <c r="G2">
        <v>1</v>
      </c>
      <c r="H2">
        <v>0</v>
      </c>
      <c r="I2">
        <v>0</v>
      </c>
      <c r="J2" s="2">
        <f t="shared" ref="J2:J10" si="0">2*H2-I2</f>
        <v>0</v>
      </c>
      <c r="K2" s="1">
        <f>0.1*(2*H2-I2)</f>
        <v>0</v>
      </c>
      <c r="M2" s="3">
        <f>2*('шаг 0,1'!N2 - 1 + EXP(1)^(-'шаг 0,1'!N2))</f>
        <v>0</v>
      </c>
      <c r="N2" s="3">
        <v>0</v>
      </c>
      <c r="O2" s="3">
        <v>0</v>
      </c>
      <c r="R2">
        <v>0</v>
      </c>
      <c r="S2">
        <v>0</v>
      </c>
      <c r="T2">
        <f>0.1*(2*R2-S2)</f>
        <v>0</v>
      </c>
      <c r="U2" s="6">
        <f>0.1*(2*(R2+0.05)-(S2+T2/2))</f>
        <v>1.0000000000000002E-2</v>
      </c>
      <c r="V2" s="6">
        <f>0.1*(2*(R2+0.05)-(S2+U2/2))</f>
        <v>9.5000000000000015E-3</v>
      </c>
      <c r="W2" s="6">
        <f>0.1*(2*(R2+0.1)-(S2+V2))</f>
        <v>1.9050000000000001E-2</v>
      </c>
    </row>
    <row r="3" spans="1:23" x14ac:dyDescent="0.25">
      <c r="A3">
        <v>2</v>
      </c>
      <c r="B3" s="1">
        <f>B2+0.1</f>
        <v>0.1</v>
      </c>
      <c r="C3" s="1">
        <f>C2+0.1*(2*B2-C2)</f>
        <v>0</v>
      </c>
      <c r="D3" s="1">
        <f t="shared" ref="D3:D10" si="1">2*B3-C3</f>
        <v>0.2</v>
      </c>
      <c r="E3" s="1">
        <f t="shared" ref="E3:E10" si="2">0.1*(2*B3-C3)</f>
        <v>2.0000000000000004E-2</v>
      </c>
      <c r="G3">
        <v>2</v>
      </c>
      <c r="H3" s="1">
        <f>H2+0.1/2</f>
        <v>0.05</v>
      </c>
      <c r="I3" s="1">
        <f>I2+0.1/2*(2*H2-I2)</f>
        <v>0</v>
      </c>
      <c r="J3" s="1">
        <f t="shared" si="0"/>
        <v>0.1</v>
      </c>
      <c r="K3" s="1">
        <f>0.1/2*(2*H3-I3)</f>
        <v>5.000000000000001E-3</v>
      </c>
      <c r="M3" s="3">
        <f>2*('шаг 0,1'!N3 - 1 + EXP(1)^(-'шаг 0,1'!N3))</f>
        <v>0</v>
      </c>
      <c r="N3" s="3">
        <v>0</v>
      </c>
      <c r="O3" s="3">
        <v>0</v>
      </c>
      <c r="R3">
        <f>R2+0.1</f>
        <v>0.1</v>
      </c>
      <c r="S3">
        <f>S2+(T2+2*(U2+V2)+W2)/6</f>
        <v>9.6750000000000013E-3</v>
      </c>
      <c r="T3">
        <f t="shared" ref="T3:T11" si="3">0.1*(2*R3-S3)</f>
        <v>1.9032500000000004E-2</v>
      </c>
      <c r="U3" s="6">
        <f t="shared" ref="U3:U11" si="4">0.1*(2*(R3+0.05)-(S3+T3/2))</f>
        <v>2.8080875000000005E-2</v>
      </c>
      <c r="V3" s="6">
        <f t="shared" ref="V3:V11" si="5">0.1*(2*(R3+0.05)-(S3+U3/2))</f>
        <v>2.7628456250000006E-2</v>
      </c>
      <c r="W3" s="6">
        <f t="shared" ref="W3:W11" si="6">0.1*(2*(R3+0.1)-(S3+V3))</f>
        <v>3.6269654375000009E-2</v>
      </c>
    </row>
    <row r="4" spans="1:23" x14ac:dyDescent="0.25">
      <c r="A4">
        <v>3</v>
      </c>
      <c r="B4" s="1">
        <f t="shared" ref="B4:B11" si="7">B3+0.1</f>
        <v>0.2</v>
      </c>
      <c r="C4" s="1">
        <f t="shared" ref="C4:C11" si="8">C3+0.1*(2*B3-C3)</f>
        <v>2.0000000000000004E-2</v>
      </c>
      <c r="D4" s="1">
        <f t="shared" si="1"/>
        <v>0.38</v>
      </c>
      <c r="E4" s="1">
        <f t="shared" si="2"/>
        <v>3.8000000000000006E-2</v>
      </c>
      <c r="G4">
        <v>3</v>
      </c>
      <c r="H4" s="1">
        <f t="shared" ref="H4:H11" si="9">H3+0.1/2</f>
        <v>0.1</v>
      </c>
      <c r="I4" s="1">
        <f t="shared" ref="I4:I11" si="10">I3+0.1/2*(2*H3-I3)</f>
        <v>5.000000000000001E-3</v>
      </c>
      <c r="J4" s="1">
        <f t="shared" si="0"/>
        <v>0.19500000000000001</v>
      </c>
      <c r="K4" s="1">
        <f t="shared" ref="K4:K10" si="11">0.1/2*(2*H4-I4)</f>
        <v>9.7500000000000017E-3</v>
      </c>
      <c r="M4" s="3">
        <f>2*('шаг 0,1'!N4 - 1 + EXP(1)^(-'шаг 0,1'!N4))</f>
        <v>3.9734661351076284E-4</v>
      </c>
      <c r="N4" s="3">
        <v>2.0000000000000004E-2</v>
      </c>
      <c r="O4" s="3">
        <v>5.000000000000001E-3</v>
      </c>
      <c r="R4">
        <f t="shared" ref="R4:R11" si="12">R3+0.1</f>
        <v>0.2</v>
      </c>
      <c r="S4">
        <f t="shared" ref="S4:S11" si="13">S3+(T3+2*(U3+V3)+W3)/6</f>
        <v>3.7461802812500007E-2</v>
      </c>
      <c r="T4">
        <f t="shared" si="3"/>
        <v>3.6253819718750004E-2</v>
      </c>
      <c r="U4" s="6">
        <f t="shared" si="4"/>
        <v>4.4441128732812502E-2</v>
      </c>
      <c r="V4" s="6">
        <f t="shared" si="5"/>
        <v>4.4031763282109379E-2</v>
      </c>
      <c r="W4" s="6">
        <f t="shared" si="6"/>
        <v>5.1850643390539068E-2</v>
      </c>
    </row>
    <row r="5" spans="1:23" x14ac:dyDescent="0.25">
      <c r="A5">
        <v>4</v>
      </c>
      <c r="B5" s="1">
        <f t="shared" si="7"/>
        <v>0.30000000000000004</v>
      </c>
      <c r="C5" s="1">
        <f t="shared" si="8"/>
        <v>5.800000000000001E-2</v>
      </c>
      <c r="D5" s="1">
        <f t="shared" si="1"/>
        <v>0.54200000000000004</v>
      </c>
      <c r="E5" s="1">
        <f t="shared" si="2"/>
        <v>5.4200000000000005E-2</v>
      </c>
      <c r="G5">
        <v>4</v>
      </c>
      <c r="H5" s="1">
        <f t="shared" si="9"/>
        <v>0.15000000000000002</v>
      </c>
      <c r="I5" s="1">
        <f t="shared" si="10"/>
        <v>1.4750000000000003E-2</v>
      </c>
      <c r="J5" s="1">
        <f t="shared" si="0"/>
        <v>0.28525000000000006</v>
      </c>
      <c r="K5" s="1">
        <f t="shared" si="11"/>
        <v>1.4262500000000004E-2</v>
      </c>
      <c r="M5" s="3">
        <f>2*('шаг 0,1'!N5 - 1 + EXP(1)^(-'шаг 0,1'!N5))</f>
        <v>3.2998948735969424E-3</v>
      </c>
      <c r="N5" s="3">
        <v>5.800000000000001E-2</v>
      </c>
      <c r="O5" s="3">
        <v>1.4750000000000003E-2</v>
      </c>
      <c r="R5">
        <f t="shared" si="12"/>
        <v>0.30000000000000004</v>
      </c>
      <c r="S5">
        <f t="shared" si="13"/>
        <v>8.1636844002355477E-2</v>
      </c>
      <c r="T5">
        <f t="shared" si="3"/>
        <v>5.1836315599764461E-2</v>
      </c>
      <c r="U5" s="6">
        <f t="shared" si="4"/>
        <v>5.9244499819776246E-2</v>
      </c>
      <c r="V5" s="6">
        <f t="shared" si="5"/>
        <v>5.8874090608775645E-2</v>
      </c>
      <c r="W5" s="6">
        <f t="shared" si="6"/>
        <v>6.5948906538886895E-2</v>
      </c>
    </row>
    <row r="6" spans="1:23" x14ac:dyDescent="0.25">
      <c r="A6">
        <v>5</v>
      </c>
      <c r="B6" s="1">
        <f t="shared" si="7"/>
        <v>0.4</v>
      </c>
      <c r="C6" s="1">
        <f t="shared" si="8"/>
        <v>0.11220000000000002</v>
      </c>
      <c r="D6" s="1">
        <f t="shared" si="1"/>
        <v>0.68779999999999997</v>
      </c>
      <c r="E6" s="1">
        <f t="shared" si="2"/>
        <v>6.8779999999999994E-2</v>
      </c>
      <c r="G6">
        <v>5</v>
      </c>
      <c r="H6" s="1">
        <f t="shared" si="9"/>
        <v>0.2</v>
      </c>
      <c r="I6" s="1">
        <f t="shared" si="10"/>
        <v>2.9012500000000007E-2</v>
      </c>
      <c r="J6" s="1">
        <f t="shared" si="0"/>
        <v>0.37098750000000003</v>
      </c>
      <c r="K6" s="1">
        <f t="shared" si="11"/>
        <v>1.8549375000000003E-2</v>
      </c>
      <c r="M6" s="3">
        <f>2*('шаг 0,1'!N6 - 1 + EXP(1)^(-'шаг 0,1'!N6))</f>
        <v>1.213093305710089E-2</v>
      </c>
      <c r="N6" s="3">
        <v>0.11220000000000002</v>
      </c>
      <c r="O6" s="3">
        <v>2.9012500000000007E-2</v>
      </c>
      <c r="R6">
        <f t="shared" si="12"/>
        <v>0.4</v>
      </c>
      <c r="S6">
        <f t="shared" si="13"/>
        <v>0.14064057783498135</v>
      </c>
      <c r="T6">
        <f t="shared" si="3"/>
        <v>6.5935942216501883E-2</v>
      </c>
      <c r="U6" s="6">
        <f t="shared" si="4"/>
        <v>7.2639145105676775E-2</v>
      </c>
      <c r="V6" s="6">
        <f t="shared" si="5"/>
        <v>7.2303984961218024E-2</v>
      </c>
      <c r="W6" s="6">
        <f t="shared" si="6"/>
        <v>7.8705543720380064E-2</v>
      </c>
    </row>
    <row r="7" spans="1:23" x14ac:dyDescent="0.25">
      <c r="A7">
        <v>6</v>
      </c>
      <c r="B7" s="1">
        <f t="shared" si="7"/>
        <v>0.5</v>
      </c>
      <c r="C7" s="1">
        <f t="shared" si="8"/>
        <v>0.18098000000000003</v>
      </c>
      <c r="D7" s="1">
        <f t="shared" si="1"/>
        <v>0.81901999999999997</v>
      </c>
      <c r="E7" s="1">
        <f t="shared" si="2"/>
        <v>8.1902000000000003E-2</v>
      </c>
      <c r="G7">
        <v>6</v>
      </c>
      <c r="H7" s="1">
        <f t="shared" si="9"/>
        <v>0.25</v>
      </c>
      <c r="I7" s="1">
        <f t="shared" si="10"/>
        <v>4.756187500000001E-2</v>
      </c>
      <c r="J7" s="1">
        <f t="shared" si="0"/>
        <v>0.45243812499999997</v>
      </c>
      <c r="K7" s="1">
        <f t="shared" si="11"/>
        <v>2.2621906250000001E-2</v>
      </c>
      <c r="M7" s="3">
        <f>2*('шаг 0,1'!N7 - 1 + EXP(1)^(-'шаг 0,1'!N7))</f>
        <v>3.0864095139703229E-2</v>
      </c>
      <c r="N7" s="3">
        <v>0.18098000000000003</v>
      </c>
      <c r="O7" s="3">
        <v>4.756187500000001E-2</v>
      </c>
      <c r="R7">
        <f t="shared" si="12"/>
        <v>0.5</v>
      </c>
      <c r="S7">
        <f t="shared" si="13"/>
        <v>0.21306186884675993</v>
      </c>
      <c r="T7">
        <f t="shared" si="3"/>
        <v>7.8693813115324016E-2</v>
      </c>
      <c r="U7" s="6">
        <f t="shared" si="4"/>
        <v>8.4759122459557815E-2</v>
      </c>
      <c r="V7" s="6">
        <f t="shared" si="5"/>
        <v>8.4455856992346132E-2</v>
      </c>
      <c r="W7" s="6">
        <f t="shared" si="6"/>
        <v>9.0248227416089399E-2</v>
      </c>
    </row>
    <row r="8" spans="1:23" x14ac:dyDescent="0.25">
      <c r="A8">
        <v>7</v>
      </c>
      <c r="B8" s="1">
        <f t="shared" si="7"/>
        <v>0.6</v>
      </c>
      <c r="C8" s="1">
        <f t="shared" si="8"/>
        <v>0.26288200000000006</v>
      </c>
      <c r="D8" s="1">
        <f t="shared" si="1"/>
        <v>0.9371179999999999</v>
      </c>
      <c r="E8" s="1">
        <f t="shared" si="2"/>
        <v>9.3711799999999998E-2</v>
      </c>
      <c r="G8">
        <v>7</v>
      </c>
      <c r="H8" s="1">
        <f t="shared" si="9"/>
        <v>0.3</v>
      </c>
      <c r="I8" s="1">
        <f t="shared" si="10"/>
        <v>7.0183781250000007E-2</v>
      </c>
      <c r="J8" s="1">
        <f t="shared" si="0"/>
        <v>0.52981621874999996</v>
      </c>
      <c r="K8" s="1">
        <f t="shared" si="11"/>
        <v>2.6490810937499998E-2</v>
      </c>
      <c r="M8" s="3">
        <f>2*('шаг 0,1'!N8 - 1 + EXP(1)^(-'шаг 0,1'!N8))</f>
        <v>6.3429228414469296E-2</v>
      </c>
      <c r="N8" s="3">
        <v>0.26288200000000006</v>
      </c>
      <c r="O8" s="3">
        <v>7.0183781250000007E-2</v>
      </c>
      <c r="R8">
        <f t="shared" si="12"/>
        <v>0.6</v>
      </c>
      <c r="S8">
        <f t="shared" si="13"/>
        <v>0.29762386875263014</v>
      </c>
      <c r="T8">
        <f t="shared" si="3"/>
        <v>9.0237613124736993E-2</v>
      </c>
      <c r="U8" s="6">
        <f t="shared" si="4"/>
        <v>9.5725732468500135E-2</v>
      </c>
      <c r="V8" s="6">
        <f t="shared" si="5"/>
        <v>9.5451326501311995E-2</v>
      </c>
      <c r="W8" s="6">
        <f t="shared" si="6"/>
        <v>0.10069248047460577</v>
      </c>
    </row>
    <row r="9" spans="1:23" x14ac:dyDescent="0.25">
      <c r="A9">
        <v>8</v>
      </c>
      <c r="B9" s="1">
        <f t="shared" si="7"/>
        <v>0.7</v>
      </c>
      <c r="C9" s="1">
        <f t="shared" si="8"/>
        <v>0.35659380000000007</v>
      </c>
      <c r="D9" s="1">
        <f t="shared" si="1"/>
        <v>1.0434061999999997</v>
      </c>
      <c r="E9" s="1">
        <f t="shared" si="2"/>
        <v>0.10434061999999998</v>
      </c>
      <c r="G9">
        <v>8</v>
      </c>
      <c r="H9" s="1">
        <f t="shared" si="9"/>
        <v>0.35</v>
      </c>
      <c r="I9" s="1">
        <f t="shared" si="10"/>
        <v>9.6674592187500005E-2</v>
      </c>
      <c r="J9" s="1">
        <f t="shared" si="0"/>
        <v>0.60332540781249999</v>
      </c>
      <c r="K9" s="1">
        <f t="shared" si="11"/>
        <v>3.0166270390625E-2</v>
      </c>
      <c r="M9" s="3">
        <f>2*('шаг 0,1'!N9 - 1 + EXP(1)^(-'шаг 0,1'!N9))</f>
        <v>0.11330120612338712</v>
      </c>
      <c r="N9" s="3">
        <v>0.35659380000000007</v>
      </c>
      <c r="O9" s="3">
        <v>9.6674592187500005E-2</v>
      </c>
      <c r="R9">
        <f t="shared" si="12"/>
        <v>0.7</v>
      </c>
      <c r="S9">
        <f t="shared" si="13"/>
        <v>0.39317123734245796</v>
      </c>
      <c r="T9">
        <f t="shared" si="3"/>
        <v>0.10068287626575421</v>
      </c>
      <c r="U9" s="6">
        <f t="shared" si="4"/>
        <v>0.10564873245246649</v>
      </c>
      <c r="V9" s="6">
        <f t="shared" si="5"/>
        <v>0.10540043964313089</v>
      </c>
      <c r="W9" s="6">
        <f t="shared" si="6"/>
        <v>0.11014283230144112</v>
      </c>
    </row>
    <row r="10" spans="1:23" x14ac:dyDescent="0.25">
      <c r="A10">
        <v>9</v>
      </c>
      <c r="B10" s="1">
        <f t="shared" si="7"/>
        <v>0.79999999999999993</v>
      </c>
      <c r="C10" s="1">
        <f t="shared" si="8"/>
        <v>0.46093442000000007</v>
      </c>
      <c r="D10" s="1">
        <f t="shared" si="1"/>
        <v>1.1390655799999998</v>
      </c>
      <c r="E10" s="1">
        <f t="shared" si="2"/>
        <v>0.11390655799999999</v>
      </c>
      <c r="G10">
        <v>9</v>
      </c>
      <c r="H10" s="1">
        <f t="shared" si="9"/>
        <v>0.39999999999999997</v>
      </c>
      <c r="I10" s="1">
        <f t="shared" si="10"/>
        <v>0.12684086257812499</v>
      </c>
      <c r="J10" s="1">
        <f t="shared" si="0"/>
        <v>0.67315913742187494</v>
      </c>
      <c r="K10" s="1">
        <f t="shared" si="11"/>
        <v>3.3657956871093749E-2</v>
      </c>
      <c r="M10" s="3">
        <f>2*('шаг 0,1'!N10 - 1 + EXP(1)^(-'шаг 0,1'!N10))</f>
        <v>0.18325691391360621</v>
      </c>
      <c r="N10" s="3">
        <v>0.46093442000000007</v>
      </c>
      <c r="O10" s="3">
        <v>0.12684086257812499</v>
      </c>
      <c r="R10">
        <f t="shared" si="12"/>
        <v>0.79999999999999993</v>
      </c>
      <c r="S10">
        <f t="shared" si="13"/>
        <v>0.49865857946885633</v>
      </c>
      <c r="T10">
        <f t="shared" si="3"/>
        <v>0.11013414205311436</v>
      </c>
      <c r="U10" s="6">
        <f t="shared" si="4"/>
        <v>0.11462743495045864</v>
      </c>
      <c r="V10" s="6">
        <f t="shared" si="5"/>
        <v>0.11440277030559143</v>
      </c>
      <c r="W10" s="6">
        <f t="shared" si="6"/>
        <v>0.11869386502255522</v>
      </c>
    </row>
    <row r="11" spans="1:23" x14ac:dyDescent="0.25">
      <c r="A11">
        <v>10</v>
      </c>
      <c r="B11" s="1">
        <f t="shared" si="7"/>
        <v>0.89999999999999991</v>
      </c>
      <c r="C11" s="1">
        <f t="shared" si="8"/>
        <v>0.57484097800000011</v>
      </c>
      <c r="D11" s="1"/>
      <c r="E11" s="1"/>
      <c r="G11">
        <v>10</v>
      </c>
      <c r="H11" s="1">
        <f t="shared" si="9"/>
        <v>0.44999999999999996</v>
      </c>
      <c r="I11" s="1">
        <f t="shared" si="10"/>
        <v>0.16049881944921873</v>
      </c>
      <c r="J11" s="1"/>
      <c r="K11" s="1"/>
      <c r="M11" s="3">
        <f>2*('шаг 0,1'!N11 - 1 + EXP(1)^(-'шаг 0,1'!N11))</f>
        <v>0.27527067275163941</v>
      </c>
      <c r="N11" s="3">
        <v>0.57484097800000011</v>
      </c>
      <c r="O11" s="3">
        <v>0.16049881944921873</v>
      </c>
      <c r="R11">
        <f t="shared" si="12"/>
        <v>0.89999999999999991</v>
      </c>
      <c r="S11">
        <f t="shared" si="13"/>
        <v>0.61313998240015133</v>
      </c>
      <c r="T11">
        <f t="shared" si="3"/>
        <v>0.11868600175998485</v>
      </c>
      <c r="U11" s="6">
        <f t="shared" si="4"/>
        <v>0.12275170167198562</v>
      </c>
      <c r="V11" s="6">
        <f t="shared" si="5"/>
        <v>0.12254841667638559</v>
      </c>
      <c r="W11" s="6">
        <f t="shared" si="6"/>
        <v>0.12643116009234628</v>
      </c>
    </row>
    <row r="13" spans="1:23" x14ac:dyDescent="0.25">
      <c r="Q13" s="5" t="s">
        <v>8</v>
      </c>
      <c r="R13">
        <v>0.1</v>
      </c>
    </row>
  </sheetData>
  <mergeCells count="1">
    <mergeCell ref="O1:P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шаг 0,1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2026-03-07T11:26:07Z</dcterms:modified>
</cp:coreProperties>
</file>